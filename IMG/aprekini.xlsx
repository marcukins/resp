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Downloads\"/>
    </mc:Choice>
  </mc:AlternateContent>
  <xr:revisionPtr revIDLastSave="0" documentId="13_ncr:1_{CD6F231B-49C8-41E7-B95B-F33E2E4AA410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8" l="1"/>
  <c r="F7" i="8"/>
  <c r="F16" i="8"/>
  <c r="F15" i="8"/>
  <c r="F14" i="8"/>
  <c r="F13" i="8"/>
  <c r="F12" i="8"/>
  <c r="F11" i="8"/>
  <c r="B5" i="4"/>
  <c r="B6" i="4"/>
  <c r="B7" i="4"/>
  <c r="B8" i="4"/>
  <c r="B9" i="4"/>
  <c r="B10" i="4"/>
  <c r="B11" i="4"/>
  <c r="B12" i="4"/>
  <c r="B13" i="4"/>
  <c r="B4" i="4"/>
  <c r="G6" i="6"/>
  <c r="G7" i="6"/>
  <c r="G8" i="6"/>
  <c r="G5" i="6"/>
  <c r="E5" i="5"/>
  <c r="E6" i="5"/>
  <c r="E7" i="5"/>
  <c r="E8" i="5"/>
  <c r="E9" i="5"/>
  <c r="E10" i="5"/>
  <c r="E11" i="5"/>
  <c r="E12" i="5"/>
  <c r="E13" i="5"/>
  <c r="E14" i="5"/>
  <c r="E15" i="5"/>
  <c r="E4" i="5"/>
  <c r="F6" i="6"/>
  <c r="F7" i="6"/>
  <c r="F8" i="6"/>
  <c r="F5" i="6"/>
  <c r="E6" i="6"/>
  <c r="E7" i="6"/>
  <c r="E8" i="6"/>
  <c r="E5" i="6"/>
  <c r="D6" i="6"/>
  <c r="D7" i="6"/>
  <c r="D8" i="6"/>
  <c r="D5" i="6"/>
  <c r="K10" i="7"/>
  <c r="K11" i="7"/>
  <c r="K12" i="7"/>
  <c r="K13" i="7"/>
  <c r="K14" i="7"/>
  <c r="K15" i="7"/>
  <c r="K16" i="7"/>
  <c r="K17" i="7"/>
  <c r="K18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H10" i="7"/>
  <c r="H11" i="7"/>
  <c r="H12" i="7"/>
  <c r="H13" i="7"/>
  <c r="H14" i="7"/>
  <c r="H15" i="7"/>
  <c r="H16" i="7"/>
  <c r="H17" i="7"/>
  <c r="H18" i="7"/>
  <c r="G10" i="7"/>
  <c r="G11" i="7"/>
  <c r="G12" i="7"/>
  <c r="G13" i="7"/>
  <c r="G14" i="7"/>
  <c r="G15" i="7"/>
  <c r="G16" i="7"/>
  <c r="G17" i="7"/>
  <c r="G18" i="7"/>
  <c r="K9" i="7"/>
  <c r="J9" i="7"/>
  <c r="I9" i="7"/>
  <c r="H9" i="7"/>
  <c r="G9" i="7"/>
  <c r="F10" i="7"/>
  <c r="F11" i="7"/>
  <c r="F12" i="7"/>
  <c r="F13" i="7"/>
  <c r="F14" i="7"/>
  <c r="F15" i="7"/>
  <c r="F16" i="7"/>
  <c r="F17" i="7"/>
  <c r="F18" i="7"/>
  <c r="F9" i="7"/>
  <c r="E10" i="7"/>
  <c r="E11" i="7"/>
  <c r="E12" i="7"/>
  <c r="E13" i="7"/>
  <c r="E14" i="7"/>
  <c r="E15" i="7"/>
  <c r="E16" i="7"/>
  <c r="E17" i="7"/>
  <c r="E18" i="7"/>
  <c r="E9" i="7"/>
  <c r="D10" i="7"/>
  <c r="D11" i="7"/>
  <c r="D12" i="7"/>
  <c r="D13" i="7"/>
  <c r="D14" i="7"/>
  <c r="D15" i="7"/>
  <c r="D16" i="7"/>
  <c r="D17" i="7"/>
  <c r="D18" i="7"/>
  <c r="D9" i="7"/>
  <c r="C9" i="7"/>
  <c r="C10" i="7"/>
  <c r="C11" i="7"/>
  <c r="C12" i="7"/>
  <c r="C13" i="7"/>
  <c r="C14" i="7"/>
  <c r="C15" i="7"/>
  <c r="C16" i="7"/>
  <c r="C17" i="7"/>
  <c r="C18" i="7"/>
  <c r="B18" i="7"/>
  <c r="B10" i="7"/>
  <c r="B11" i="7"/>
  <c r="B12" i="7"/>
  <c r="B13" i="7"/>
  <c r="B14" i="7"/>
  <c r="B15" i="7"/>
  <c r="B16" i="7"/>
  <c r="B17" i="7"/>
  <c r="B9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<sst xmlns="http://schemas.openxmlformats.org/spreadsheetml/2006/main" count="54" uniqueCount="52">
  <si>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</si>
  <si>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</si>
  <si>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</si>
  <si>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</si>
  <si>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</si>
  <si>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</si>
  <si>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</si>
  <si>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</si>
  <si>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</si>
  <si>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</si>
  <si>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</si>
  <si>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</si>
  <si>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</si>
  <si>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</si>
  <si>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</si>
  <si>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</si>
  <si>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</si>
  <si>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</si>
  <si>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</si>
  <si>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</si>
  <si>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</si>
  <si>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</si>
  <si>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</si>
  <si>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</si>
  <si>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</si>
  <si>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</si>
  <si>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</si>
  <si>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</si>
  <si>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</si>
  <si>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</si>
  <si>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</si>
  <si>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</si>
  <si>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</si>
  <si>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</si>
  <si>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</si>
  <si>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</si>
  <si>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</si>
  <si>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</si>
  <si>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</si>
  <si>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</si>
  <si>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</si>
  <si>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</si>
  <si>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</si>
  <si>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</si>
  <si>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</si>
  <si>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</si>
  <si>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</si>
  <si>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</si>
  <si>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</si>
  <si>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</si>
  <si>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</si>
  <si>
    <t>Preces cena ir 3,20 eiro.  Ja pērk 3 vai vairāk vienādas preces, par katru preci jāmaksā tikai 2,90 eiro. Uzrakstīt formulu kas aprēķina maksu par pirkumu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</si>
</sst>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0" fillId="3" borderId="2" xfId="0" applyNumberFormat="1" applyFill="1" applyBorder="1"/>
  </cellXfs>
  <cellStyles count="9">
    <cellStyle name="Comma 2" xfId="3" xr:uid="{00000000-0005-0000-0000-000001000000}"/>
    <cellStyle name="Comma 3" xfId="7" xr:uid="{346510AD-4C48-484B-80EC-CAFD8C7FE370}"/>
    <cellStyle name="Komats" xfId="1" builtinId="3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arasts" xfId="0" builtinId="0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–2022 dizain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workbookViewId="0">
      <selection activeCell="C14" sqref="C14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5" t="s">
        <v>51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26.45" customHeight="1" x14ac:dyDescent="0.25">
      <c r="A3" s="2" t="s">
        <v>0</v>
      </c>
      <c r="B3" s="2" t="s">
        <v>30</v>
      </c>
    </row>
    <row r="4" spans="1:22" x14ac:dyDescent="0.25">
      <c r="A4" s="4">
        <v>1</v>
      </c>
      <c r="B4" s="24">
        <f>IF(A4&gt;2,2.9*A4,3.2*A4)</f>
        <v>3.2</v>
      </c>
    </row>
    <row r="5" spans="1:22" x14ac:dyDescent="0.25">
      <c r="A5" s="4">
        <v>2</v>
      </c>
      <c r="B5" s="24">
        <f t="shared" ref="B5:B7" si="0">IF(A5&gt;2,2.9*A5,3.2*A5)</f>
        <v>6.4</v>
      </c>
    </row>
    <row r="6" spans="1:22" x14ac:dyDescent="0.25">
      <c r="A6" s="4">
        <v>3</v>
      </c>
      <c r="B6" s="24">
        <f t="shared" si="0"/>
        <v>8.6999999999999993</v>
      </c>
    </row>
    <row r="7" spans="1:22" x14ac:dyDescent="0.25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K9" sqref="K9:K18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30" t="s">
        <v>34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7" t="s">
        <v>49</v>
      </c>
      <c r="B2" s="37"/>
      <c r="C2" s="37"/>
      <c r="D2" s="37"/>
      <c r="E2" s="37"/>
      <c r="F2" s="37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38" t="s">
        <v>50</v>
      </c>
      <c r="B3" s="38"/>
      <c r="C3" s="38"/>
      <c r="D3" s="38"/>
      <c r="E3" s="38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38" t="s">
        <v>35</v>
      </c>
      <c r="B4" s="38"/>
      <c r="C4" s="38"/>
      <c r="D4" s="38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39" t="s">
        <v>36</v>
      </c>
      <c r="B5" s="39"/>
      <c r="C5" s="39"/>
      <c r="D5" s="39"/>
      <c r="E5" s="39"/>
      <c r="F5" s="39"/>
      <c r="G5" s="39"/>
      <c r="H5" s="39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37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>
        <f>SQRT($B$8*$B$8+A9*A9-2*$B$8*A9*COS($G$2))</f>
        <v>1.817493870870549</v>
      </c>
      <c r="C9" s="31">
        <f>SQRT($C$8*$C$8+A9*A9-2*$C$8*A9*COS($G$2))</f>
        <v>2.8124458949384317</v>
      </c>
      <c r="D9" s="31">
        <f>SQRT($D$8*$D$8+A9*A9-2*$D$8*A9*COS($G$2))</f>
        <v>4.5295054755745756</v>
      </c>
      <c r="E9" s="31">
        <f>SQRT($E$8*$E$8+A9*A9-2*$E$8*A9*COS($G$2))</f>
        <v>6.4127207794012113</v>
      </c>
      <c r="F9" s="31">
        <f>SQRT($F$8*$F$8+A9*A9-2*$F$8*A9*COS($G$2))</f>
        <v>8.3504224884653659</v>
      </c>
      <c r="G9" s="31">
        <f>SQRT($G$8*$G$8+A9*A9-2*$G$8*A9*COS($G$2))</f>
        <v>10.311940829793979</v>
      </c>
      <c r="H9" s="31">
        <f>SQRT($H$8*$H$8+A9*A9-2*$H$8*A9*COS($G$2))</f>
        <v>12.285873661179988</v>
      </c>
      <c r="I9" s="31">
        <f>SQRT($I$8*$I$8+A9*A9-2*$I$8*A9*COS($G$2))</f>
        <v>14.267069059893842</v>
      </c>
      <c r="J9" s="31">
        <f>SQRT($J$8*$J$8+A9*A9-2*$J$8*A9*COS($G$2))</f>
        <v>16.252871361734339</v>
      </c>
      <c r="K9" s="31">
        <f>SQRT($K$8*$K$8+A9*A9-2*$K$8*A9*COS($G$2))</f>
        <v>18.241776104381618</v>
      </c>
    </row>
    <row r="10" spans="1:13" x14ac:dyDescent="0.25">
      <c r="A10" s="28">
        <v>4</v>
      </c>
      <c r="B10" s="31">
        <f t="shared" ref="B10:B18" si="0">SQRT($B$8*$B$8+A10*A10-2*$B$8*A10*COS($G$2))</f>
        <v>3.688708167001562</v>
      </c>
      <c r="C10" s="31">
        <f t="shared" ref="C10:C18" si="1">SQRT($C$8*$C$8+A10*A10-2*$C$8*A10*COS($G$2))</f>
        <v>3.8496368431206691</v>
      </c>
      <c r="D10" s="31">
        <f t="shared" ref="D10:D18" si="2">SQRT($D$8*$D$8+A10*A10-2*$D$8*A10*COS($G$2))</f>
        <v>4.9023300283151192</v>
      </c>
      <c r="E10" s="31">
        <f t="shared" ref="E10:E18" si="3">SQRT($E$8*$E$8+A10*A10-2*$E$8*A10*COS($G$2))</f>
        <v>6.4223029817292305</v>
      </c>
      <c r="F10" s="31">
        <f t="shared" ref="F10:F18" si="4">SQRT($F$8*$F$8+A10*A10-2*$F$8*A10*COS($G$2))</f>
        <v>8.1522457931380004</v>
      </c>
      <c r="G10" s="31">
        <f t="shared" ref="G10:G18" si="5">SQRT($G$8*$G$8+A10*A10-2*$G$8*A10*COS($G$2))</f>
        <v>9.9835989179425813</v>
      </c>
      <c r="H10" s="31">
        <f t="shared" ref="H10:H18" si="6">SQRT($H$8*$H$8+A10*A10-2*$H$8*A10*COS($G$2))</f>
        <v>11.86951486948613</v>
      </c>
      <c r="I10" s="31">
        <f t="shared" ref="I10:I18" si="7">SQRT($I$8*$I$8+A10*A10-2*$I$8*A10*COS($G$2))</f>
        <v>13.78762195302585</v>
      </c>
      <c r="J10" s="31">
        <f t="shared" ref="J10:J18" si="8">SQRT($J$8*$J$8+A10*A10-2*$J$8*A10*COS($G$2))</f>
        <v>15.726145586321158</v>
      </c>
      <c r="K10" s="31">
        <f t="shared" ref="K10:K18" si="9">SQRT($K$8*$K$8+A10*A10-2*$K$8*A10*COS($G$2))</f>
        <v>17.678370707867185</v>
      </c>
    </row>
    <row r="11" spans="1:13" x14ac:dyDescent="0.25">
      <c r="A11" s="28">
        <v>6</v>
      </c>
      <c r="B11" s="31">
        <f t="shared" si="0"/>
        <v>5.6488805892810339</v>
      </c>
      <c r="C11" s="31">
        <f t="shared" si="1"/>
        <v>5.4524816126116473</v>
      </c>
      <c r="D11" s="31">
        <f t="shared" si="2"/>
        <v>5.9623199813311079</v>
      </c>
      <c r="E11" s="31">
        <f t="shared" si="3"/>
        <v>7.0263051018079379</v>
      </c>
      <c r="F11" s="31">
        <f t="shared" si="4"/>
        <v>8.4373376848152954</v>
      </c>
      <c r="G11" s="31">
        <f t="shared" si="5"/>
        <v>10.050292086875704</v>
      </c>
      <c r="H11" s="31">
        <f t="shared" si="6"/>
        <v>11.782532616353263</v>
      </c>
      <c r="I11" s="31">
        <f t="shared" si="7"/>
        <v>13.588516426723727</v>
      </c>
      <c r="J11" s="31">
        <f t="shared" si="8"/>
        <v>15.442392382764162</v>
      </c>
      <c r="K11" s="31">
        <f t="shared" si="9"/>
        <v>17.328796447738796</v>
      </c>
    </row>
    <row r="12" spans="1:13" x14ac:dyDescent="0.25">
      <c r="A12" s="28">
        <v>8</v>
      </c>
      <c r="B12" s="31">
        <f t="shared" si="0"/>
        <v>7.629753330390705</v>
      </c>
      <c r="C12" s="31">
        <f t="shared" si="1"/>
        <v>7.2553020369812407</v>
      </c>
      <c r="D12" s="31">
        <f t="shared" si="2"/>
        <v>7.4206252710294063</v>
      </c>
      <c r="E12" s="31">
        <f t="shared" si="3"/>
        <v>8.0927097549743081</v>
      </c>
      <c r="F12" s="31">
        <f t="shared" si="4"/>
        <v>9.1606889993860428</v>
      </c>
      <c r="G12" s="31">
        <f t="shared" si="5"/>
        <v>10.50449878426803</v>
      </c>
      <c r="H12" s="31">
        <f t="shared" si="6"/>
        <v>12.03207240976818</v>
      </c>
      <c r="I12" s="31">
        <f t="shared" si="7"/>
        <v>13.681996865922779</v>
      </c>
      <c r="J12" s="31">
        <f t="shared" si="8"/>
        <v>15.415035193094333</v>
      </c>
      <c r="K12" s="31">
        <f t="shared" si="9"/>
        <v>17.206091414657568</v>
      </c>
    </row>
    <row r="13" spans="1:13" x14ac:dyDescent="0.25">
      <c r="A13" s="28">
        <v>10</v>
      </c>
      <c r="B13" s="31">
        <f t="shared" si="0"/>
        <v>9.6185456204802637</v>
      </c>
      <c r="C13" s="31">
        <f t="shared" si="1"/>
        <v>9.1405284070331607</v>
      </c>
      <c r="D13" s="31">
        <f t="shared" si="2"/>
        <v>9.0874693543527449</v>
      </c>
      <c r="E13" s="31">
        <f t="shared" si="3"/>
        <v>9.4665167285977176</v>
      </c>
      <c r="F13" s="31">
        <f t="shared" si="4"/>
        <v>10.229749688009992</v>
      </c>
      <c r="G13" s="31">
        <f t="shared" si="5"/>
        <v>11.299584876705014</v>
      </c>
      <c r="H13" s="31">
        <f t="shared" si="6"/>
        <v>12.59815296352528</v>
      </c>
      <c r="I13" s="31">
        <f t="shared" si="7"/>
        <v>14.06222947469216</v>
      </c>
      <c r="J13" s="31">
        <f t="shared" si="8"/>
        <v>15.645419058159517</v>
      </c>
      <c r="K13" s="31">
        <f t="shared" si="9"/>
        <v>17.315079474606552</v>
      </c>
    </row>
    <row r="14" spans="1:13" x14ac:dyDescent="0.25">
      <c r="A14" s="28">
        <v>12</v>
      </c>
      <c r="B14" s="31">
        <f t="shared" si="0"/>
        <v>11.611188734316228</v>
      </c>
      <c r="C14" s="31">
        <f t="shared" si="1"/>
        <v>11.066124501004687</v>
      </c>
      <c r="D14" s="31">
        <f t="shared" si="2"/>
        <v>10.867314255121196</v>
      </c>
      <c r="E14" s="31">
        <f t="shared" si="3"/>
        <v>11.033491141401461</v>
      </c>
      <c r="F14" s="31">
        <f t="shared" si="4"/>
        <v>11.548910529362008</v>
      </c>
      <c r="G14" s="31">
        <f t="shared" si="5"/>
        <v>12.369993616127406</v>
      </c>
      <c r="H14" s="31">
        <f t="shared" si="6"/>
        <v>13.440838876753821</v>
      </c>
      <c r="I14" s="31">
        <f t="shared" si="7"/>
        <v>14.706990084945359</v>
      </c>
      <c r="J14" s="31">
        <f t="shared" si="8"/>
        <v>16.122498720933589</v>
      </c>
      <c r="K14" s="31">
        <f t="shared" si="9"/>
        <v>17.651469419125689</v>
      </c>
    </row>
    <row r="15" spans="1:13" x14ac:dyDescent="0.25">
      <c r="A15" s="28">
        <v>14</v>
      </c>
      <c r="B15" s="31">
        <f t="shared" si="0"/>
        <v>13.605990878821141</v>
      </c>
      <c r="C15" s="31">
        <f t="shared" si="1"/>
        <v>13.014183162369134</v>
      </c>
      <c r="D15" s="31">
        <f t="shared" si="2"/>
        <v>12.712786436215328</v>
      </c>
      <c r="E15" s="31">
        <f t="shared" si="3"/>
        <v>12.722457096093843</v>
      </c>
      <c r="F15" s="31">
        <f t="shared" si="4"/>
        <v>13.042503216448779</v>
      </c>
      <c r="G15" s="31">
        <f t="shared" si="5"/>
        <v>13.65111225286075</v>
      </c>
      <c r="H15" s="31">
        <f t="shared" si="6"/>
        <v>14.512024025935634</v>
      </c>
      <c r="I15" s="31">
        <f t="shared" si="7"/>
        <v>15.58347897353031</v>
      </c>
      <c r="J15" s="31">
        <f t="shared" si="8"/>
        <v>16.825302152044387</v>
      </c>
      <c r="K15" s="31">
        <f t="shared" si="9"/>
        <v>18.202658270063679</v>
      </c>
    </row>
    <row r="16" spans="1:13" x14ac:dyDescent="0.25">
      <c r="A16" s="28">
        <v>16</v>
      </c>
      <c r="B16" s="31">
        <f t="shared" si="0"/>
        <v>15.60212395045034</v>
      </c>
      <c r="C16" s="31">
        <f t="shared" si="1"/>
        <v>14.975941215684852</v>
      </c>
      <c r="D16" s="31">
        <f t="shared" si="2"/>
        <v>14.599019104928951</v>
      </c>
      <c r="E16" s="31">
        <f t="shared" si="3"/>
        <v>14.49082131407715</v>
      </c>
      <c r="F16" s="31">
        <f t="shared" si="4"/>
        <v>14.657300088588787</v>
      </c>
      <c r="G16" s="31">
        <f t="shared" si="5"/>
        <v>15.089366766613404</v>
      </c>
      <c r="H16" s="31">
        <f t="shared" si="6"/>
        <v>15.765200060506979</v>
      </c>
      <c r="I16" s="31">
        <f t="shared" si="7"/>
        <v>16.655151649812183</v>
      </c>
      <c r="J16" s="31">
        <f t="shared" si="8"/>
        <v>17.727002566950613</v>
      </c>
      <c r="K16" s="31">
        <f t="shared" si="9"/>
        <v>18.949911966526543</v>
      </c>
    </row>
    <row r="17" spans="1:11" x14ac:dyDescent="0.25">
      <c r="A17" s="28">
        <v>18</v>
      </c>
      <c r="B17" s="31">
        <f t="shared" si="0"/>
        <v>17.599135084880398</v>
      </c>
      <c r="C17" s="31">
        <f t="shared" si="1"/>
        <v>16.946641767843101</v>
      </c>
      <c r="D17" s="31">
        <f t="shared" si="2"/>
        <v>16.512049499663586</v>
      </c>
      <c r="E17" s="31">
        <f t="shared" si="3"/>
        <v>16.312783028995291</v>
      </c>
      <c r="F17" s="31">
        <f t="shared" si="4"/>
        <v>16.357444837834944</v>
      </c>
      <c r="G17" s="31">
        <f t="shared" si="5"/>
        <v>16.644071409800823</v>
      </c>
      <c r="H17" s="31">
        <f t="shared" si="6"/>
        <v>17.160542665262234</v>
      </c>
      <c r="I17" s="31">
        <f t="shared" si="7"/>
        <v>17.886959943993325</v>
      </c>
      <c r="J17" s="31">
        <f t="shared" si="8"/>
        <v>18.799001237027404</v>
      </c>
      <c r="K17" s="31">
        <f t="shared" si="9"/>
        <v>19.871123747324763</v>
      </c>
    </row>
    <row r="18" spans="1:11" x14ac:dyDescent="0.25">
      <c r="A18" s="28">
        <v>20</v>
      </c>
      <c r="B18" s="31">
        <f>SQRT($B$8*$B$8+A18*A18-2*$B$8*A18*COS($G$2))</f>
        <v>19.596755846479287</v>
      </c>
      <c r="C18" s="31">
        <f t="shared" si="1"/>
        <v>18.923491197967682</v>
      </c>
      <c r="D18" s="31">
        <f t="shared" si="2"/>
        <v>18.443540835007809</v>
      </c>
      <c r="E18" s="31">
        <f t="shared" si="3"/>
        <v>18.172228205303853</v>
      </c>
      <c r="F18" s="31">
        <f t="shared" si="4"/>
        <v>18.11892815148515</v>
      </c>
      <c r="G18" s="31">
        <f t="shared" si="5"/>
        <v>18.285547210070618</v>
      </c>
      <c r="H18" s="31">
        <f t="shared" si="6"/>
        <v>18.66619715380617</v>
      </c>
      <c r="I18" s="31">
        <f t="shared" si="7"/>
        <v>19.248184215603345</v>
      </c>
      <c r="J18" s="31">
        <f t="shared" si="8"/>
        <v>20.013952008807308</v>
      </c>
      <c r="K18" s="31">
        <f t="shared" si="9"/>
        <v>20.943351079134455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J7" sqref="J7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5.28515625" style="9" customWidth="1"/>
    <col min="8" max="16384" width="8.85546875" style="6"/>
  </cols>
  <sheetData>
    <row r="1" spans="1:22" s="1" customFormat="1" ht="66.599999999999994" customHeight="1" thickBot="1" x14ac:dyDescent="0.3">
      <c r="A1" s="35" t="s">
        <v>31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x14ac:dyDescent="0.25">
      <c r="A3" s="40" t="s">
        <v>20</v>
      </c>
      <c r="B3" s="41"/>
      <c r="C3" s="42"/>
      <c r="D3" s="40" t="s">
        <v>22</v>
      </c>
      <c r="E3" s="41"/>
      <c r="F3" s="42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 t="b">
        <f>A5+B5&gt;C5</f>
        <v>1</v>
      </c>
      <c r="E5" s="22" t="b">
        <f>A5+C5&gt;B5</f>
        <v>1</v>
      </c>
      <c r="F5" s="22" t="b">
        <f>B5+C5&gt;A5</f>
        <v>1</v>
      </c>
      <c r="G5" s="23" t="str">
        <f>IF(AND(A5+B5&gt;C5, A5+C5&gt;B5, B5+C5&gt;A5), "jā", "nē")</f>
        <v>jā</v>
      </c>
    </row>
    <row r="6" spans="1:22" x14ac:dyDescent="0.25">
      <c r="A6" s="8">
        <v>4</v>
      </c>
      <c r="B6" s="8">
        <v>2</v>
      </c>
      <c r="C6" s="8">
        <v>2</v>
      </c>
      <c r="D6" s="22" t="b">
        <f t="shared" ref="D6:D8" si="0">A6+B6&gt;C6</f>
        <v>1</v>
      </c>
      <c r="E6" s="22" t="b">
        <f t="shared" ref="E6:E8" si="1">A6+C6&gt;B6</f>
        <v>1</v>
      </c>
      <c r="F6" s="22" t="b">
        <f t="shared" ref="F6:F8" si="2">B6+C6&gt;A6</f>
        <v>0</v>
      </c>
      <c r="G6" s="23" t="str">
        <f t="shared" ref="G6:G8" si="3">IF(AND(A6+B6&gt;C6, A6+C6&gt;B6, B6+C6&gt;A6), "jā", "nē")</f>
        <v>nē</v>
      </c>
    </row>
    <row r="7" spans="1:22" x14ac:dyDescent="0.25">
      <c r="A7" s="8">
        <v>1</v>
      </c>
      <c r="B7" s="8">
        <v>2</v>
      </c>
      <c r="C7" s="8">
        <v>3</v>
      </c>
      <c r="D7" s="22" t="b">
        <f t="shared" si="0"/>
        <v>0</v>
      </c>
      <c r="E7" s="22" t="b">
        <f t="shared" si="1"/>
        <v>1</v>
      </c>
      <c r="F7" s="22" t="b">
        <f t="shared" si="2"/>
        <v>1</v>
      </c>
      <c r="G7" s="23" t="str">
        <f t="shared" si="3"/>
        <v>nē</v>
      </c>
    </row>
    <row r="8" spans="1:22" x14ac:dyDescent="0.25">
      <c r="A8" s="8">
        <v>20</v>
      </c>
      <c r="B8" s="8">
        <v>14</v>
      </c>
      <c r="C8" s="8">
        <v>12</v>
      </c>
      <c r="D8" s="22" t="b">
        <f t="shared" si="0"/>
        <v>1</v>
      </c>
      <c r="E8" s="22" t="b">
        <f t="shared" si="1"/>
        <v>1</v>
      </c>
      <c r="F8" s="22" t="b">
        <f t="shared" si="2"/>
        <v>1</v>
      </c>
      <c r="G8" s="23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activeCell="F10" sqref="F10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5" t="s">
        <v>32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IF(OR(C4=$C$15, C4=$C$7), D4, A4)</f>
        <v>Aija</v>
      </c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IF(OR(C5=$C$15, C5=$C$7), D5, A5)</f>
        <v>Dace</v>
      </c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D12" sqref="D12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5" t="s">
        <v>33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 t="str">
        <f>IF(OR(A4=1, A4=21, A4=31, A4=41, A4=51, A4=61, A4=71, A4=81, A4=91), "cents", "centi")</f>
        <v>centi</v>
      </c>
    </row>
    <row r="5" spans="1:22" x14ac:dyDescent="0.25">
      <c r="A5" s="8">
        <v>1</v>
      </c>
      <c r="B5" s="23" t="str">
        <f t="shared" ref="B5:B13" si="0">IF(OR(A5=1, A5=21, A5=31, A5=41, A5=51, A5=61, A5=71, A5=81, A5=91), "cents", "centi")</f>
        <v>cents</v>
      </c>
    </row>
    <row r="6" spans="1:22" x14ac:dyDescent="0.25">
      <c r="A6" s="8">
        <v>2</v>
      </c>
      <c r="B6" s="23" t="str">
        <f t="shared" si="0"/>
        <v>centi</v>
      </c>
    </row>
    <row r="7" spans="1:22" x14ac:dyDescent="0.25">
      <c r="A7" s="8">
        <v>9</v>
      </c>
      <c r="B7" s="23" t="str">
        <f t="shared" si="0"/>
        <v>centi</v>
      </c>
    </row>
    <row r="8" spans="1:22" x14ac:dyDescent="0.25">
      <c r="A8" s="8">
        <v>10</v>
      </c>
      <c r="B8" s="23" t="str">
        <f t="shared" si="0"/>
        <v>centi</v>
      </c>
    </row>
    <row r="9" spans="1:22" x14ac:dyDescent="0.25">
      <c r="A9" s="8">
        <v>11</v>
      </c>
      <c r="B9" s="23" t="str">
        <f t="shared" si="0"/>
        <v>centi</v>
      </c>
    </row>
    <row r="10" spans="1:22" x14ac:dyDescent="0.25">
      <c r="A10" s="8">
        <v>12</v>
      </c>
      <c r="B10" s="23" t="str">
        <f t="shared" si="0"/>
        <v>centi</v>
      </c>
    </row>
    <row r="11" spans="1:22" x14ac:dyDescent="0.25">
      <c r="A11" s="8">
        <v>21</v>
      </c>
      <c r="B11" s="23" t="str">
        <f t="shared" si="0"/>
        <v>cents</v>
      </c>
    </row>
    <row r="12" spans="1:22" x14ac:dyDescent="0.25">
      <c r="A12" s="8">
        <v>99</v>
      </c>
      <c r="B12" s="23" t="str">
        <f t="shared" si="0"/>
        <v>centi</v>
      </c>
    </row>
    <row r="13" spans="1:22" x14ac:dyDescent="0.25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tabSelected="1" workbookViewId="0">
      <selection activeCell="F9" sqref="F9"/>
    </sheetView>
  </sheetViews>
  <sheetFormatPr defaultRowHeight="15" x14ac:dyDescent="0.25"/>
  <cols>
    <col min="1" max="1" width="26.85546875" customWidth="1"/>
  </cols>
  <sheetData>
    <row r="1" spans="1:8" ht="18" customHeight="1" x14ac:dyDescent="0.25">
      <c r="A1" s="33" t="s">
        <v>34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3" t="s">
        <v>48</v>
      </c>
      <c r="B3" s="43"/>
      <c r="C3" s="43"/>
      <c r="D3" s="43"/>
      <c r="E3" s="43"/>
      <c r="F3" s="43"/>
      <c r="G3" s="43"/>
      <c r="H3" s="43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47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46</v>
      </c>
      <c r="F7" s="46">
        <f>F16-F15</f>
        <v>25</v>
      </c>
    </row>
    <row r="8" spans="1:8" ht="18" customHeight="1" x14ac:dyDescent="0.25">
      <c r="A8" s="44" t="s">
        <v>45</v>
      </c>
      <c r="B8" s="44"/>
      <c r="C8" s="44"/>
      <c r="F8" s="31">
        <f>(F14-F13)*2+F12*B2*2+F11*B2*2</f>
        <v>91.395032352200417</v>
      </c>
    </row>
    <row r="9" spans="1:8" ht="18" customHeight="1" x14ac:dyDescent="0.25"/>
    <row r="10" spans="1:8" ht="18" customHeight="1" x14ac:dyDescent="0.25">
      <c r="A10" s="44" t="s">
        <v>44</v>
      </c>
      <c r="B10" s="44"/>
      <c r="C10" s="44"/>
    </row>
    <row r="11" spans="1:8" ht="18" customHeight="1" x14ac:dyDescent="0.25">
      <c r="A11" s="44" t="s">
        <v>43</v>
      </c>
      <c r="B11" s="44"/>
      <c r="C11" s="44"/>
      <c r="F11" s="46">
        <f>SQRT(B2)/2</f>
        <v>1.5811388300841898</v>
      </c>
    </row>
    <row r="12" spans="1:8" ht="18" customHeight="1" x14ac:dyDescent="0.25">
      <c r="A12" s="44" t="s">
        <v>42</v>
      </c>
      <c r="B12" s="44"/>
      <c r="C12" s="44"/>
      <c r="F12" s="46">
        <f>SQRT(B2*3)/2</f>
        <v>2.7386127875258306</v>
      </c>
    </row>
    <row r="13" spans="1:8" ht="18" customHeight="1" x14ac:dyDescent="0.25">
      <c r="A13" s="44" t="s">
        <v>41</v>
      </c>
      <c r="B13" s="44"/>
      <c r="C13" s="44"/>
      <c r="F13" s="31">
        <f>(F11*F11)/2</f>
        <v>1.2500000000000002</v>
      </c>
    </row>
    <row r="14" spans="1:8" ht="18" customHeight="1" x14ac:dyDescent="0.25">
      <c r="A14" s="44" t="s">
        <v>40</v>
      </c>
      <c r="B14" s="44"/>
      <c r="C14" s="44"/>
      <c r="F14" s="31">
        <f>(F12*F12)/2</f>
        <v>3.75</v>
      </c>
    </row>
    <row r="15" spans="1:8" ht="18" customHeight="1" x14ac:dyDescent="0.25">
      <c r="A15" s="44" t="s">
        <v>39</v>
      </c>
      <c r="B15" s="44"/>
      <c r="C15" s="44"/>
      <c r="D15" s="44"/>
      <c r="E15" s="45"/>
      <c r="F15" s="46">
        <f>F13*B2</f>
        <v>12.500000000000002</v>
      </c>
    </row>
    <row r="16" spans="1:8" ht="18" customHeight="1" x14ac:dyDescent="0.25">
      <c r="A16" s="44" t="s">
        <v>38</v>
      </c>
      <c r="B16" s="44"/>
      <c r="C16" s="44"/>
      <c r="F16" s="46">
        <f>F14*B2</f>
        <v>37.5</v>
      </c>
    </row>
    <row r="19" spans="1:3" ht="19.5" x14ac:dyDescent="0.25">
      <c r="A19" s="44"/>
      <c r="B19" s="44"/>
      <c r="C19" s="44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Mārtiņš Vestards Zemītis</cp:lastModifiedBy>
  <dcterms:created xsi:type="dcterms:W3CDTF">2021-10-27T13:59:32Z</dcterms:created>
  <dcterms:modified xsi:type="dcterms:W3CDTF">2025-12-11T14:30:56Z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